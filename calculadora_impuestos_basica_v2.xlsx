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Escenarios" sheetId="2" state="visible" r:id="rId4"/>
    <sheet name="Guía y fuen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<sst xmlns="http://schemas.openxmlformats.org/spreadsheetml/2006/main" count="154" uniqueCount="138">
  <si>
    <t xml:space="preserve">Calculadora básica: cuánto pedir sabiendo IRPF, IVA y costes fijos</t>
  </si>
  <si>
    <t xml:space="preserve">Edita las celdas azules. El IRPF queda fijo al 15% como pediste. Los costes son una cantidad fija en euros.</t>
  </si>
  <si>
    <t xml:space="preserve">Entradas</t>
  </si>
  <si>
    <t xml:space="preserve">Resumen para enseñarle al socio</t>
  </si>
  <si>
    <t xml:space="preserve">Neto que quiere ganarse</t>
  </si>
  <si>
    <t xml:space="preserve">€</t>
  </si>
  <si>
    <t xml:space="preserve">Debe pedir de base</t>
  </si>
  <si>
    <t xml:space="preserve">sin IVA</t>
  </si>
  <si>
    <t xml:space="preserve">Costes fijos del trabajo</t>
  </si>
  <si>
    <t xml:space="preserve">IVA que se añade</t>
  </si>
  <si>
    <t xml:space="preserve">no es ganancia</t>
  </si>
  <si>
    <t xml:space="preserve">IRPF fijo</t>
  </si>
  <si>
    <t xml:space="preserve">%</t>
  </si>
  <si>
    <t xml:space="preserve">Factura total</t>
  </si>
  <si>
    <t xml:space="preserve">base + IVA</t>
  </si>
  <si>
    <t xml:space="preserve">IVA</t>
  </si>
  <si>
    <t xml:space="preserve">Cliente paga</t>
  </si>
  <si>
    <t xml:space="preserve">si hay retención</t>
  </si>
  <si>
    <t xml:space="preserve">Retención aplicada en factura</t>
  </si>
  <si>
    <t xml:space="preserve">Sí</t>
  </si>
  <si>
    <t xml:space="preserve">Se queda neto</t>
  </si>
  <si>
    <t xml:space="preserve">después de IRPF y costes</t>
  </si>
  <si>
    <t xml:space="preserve">Redondear base hacia arriba a</t>
  </si>
  <si>
    <t xml:space="preserve">Modelo usado: Base antes de IVA - IRPF 15% - costes fijos = neto final. La fórmula sube la base para que el neto final llegue al objetivo.</t>
  </si>
  <si>
    <t xml:space="preserve">Resultados principales</t>
  </si>
  <si>
    <t xml:space="preserve">Desglose de lo que se va</t>
  </si>
  <si>
    <t xml:space="preserve">Lo que quiere ganarse neto</t>
  </si>
  <si>
    <t xml:space="preserve">Concepto</t>
  </si>
  <si>
    <t xml:space="preserve">Importe</t>
  </si>
  <si>
    <t xml:space="preserve">% base</t>
  </si>
  <si>
    <t xml:space="preserve">Lo que quiere ganarse antes de IRPF (sin costes)</t>
  </si>
  <si>
    <t xml:space="preserve">Neto final</t>
  </si>
  <si>
    <t xml:space="preserve">IRPF sobre esa ganancia (sin costes)</t>
  </si>
  <si>
    <t xml:space="preserve">IRPF 15%</t>
  </si>
  <si>
    <t xml:space="preserve">Base recomendada a pedir antes de IVA</t>
  </si>
  <si>
    <t xml:space="preserve">Costes fijos</t>
  </si>
  <si>
    <t xml:space="preserve">IRPF 15% retenido/apartado sobre la base</t>
  </si>
  <si>
    <t xml:space="preserve">Base total</t>
  </si>
  <si>
    <t xml:space="preserve">Costes fijos que se van</t>
  </si>
  <si>
    <t xml:space="preserve">IVA añadido aparte</t>
  </si>
  <si>
    <t xml:space="preserve">Ganancia antes de IRPF real, después de costes</t>
  </si>
  <si>
    <t xml:space="preserve">Neto final estimado</t>
  </si>
  <si>
    <t xml:space="preserve">Diferencia vs neto deseado</t>
  </si>
  <si>
    <t xml:space="preserve">IVA a cobrar / ingresar</t>
  </si>
  <si>
    <t xml:space="preserve">Total factura antes de retención</t>
  </si>
  <si>
    <t xml:space="preserve">Total que paga cliente</t>
  </si>
  <si>
    <t xml:space="preserve">Total impuestos + costes</t>
  </si>
  <si>
    <t xml:space="preserve">Dinero a apartar del cobro recibido</t>
  </si>
  <si>
    <t xml:space="preserve">% de la base que se va en IRPF + costes</t>
  </si>
  <si>
    <t xml:space="preserve">Cómo explicarlo en 30 segundos</t>
  </si>
  <si>
    <t xml:space="preserve">1</t>
  </si>
  <si>
    <t xml:space="preserve">Primero pones el neto que quiere quedarse y sus costes fijos reales.</t>
  </si>
  <si>
    <t xml:space="preserve">2</t>
  </si>
  <si>
    <t xml:space="preserve">Como el IRPF es 15%, el Excel calcula cuánto tiene que haber antes de IRPF.</t>
  </si>
  <si>
    <t xml:space="preserve">3</t>
  </si>
  <si>
    <t xml:space="preserve">Después suma los costes y calcula la base que hay que pedir para que, tras IRPF y costes, quede el neto objetivo.</t>
  </si>
  <si>
    <t xml:space="preserve">4</t>
  </si>
  <si>
    <t xml:space="preserve">El IVA se muestra aparte porque normalmente se cobra al cliente pero no es beneficio.</t>
  </si>
  <si>
    <t xml:space="preserve">Escenarios con costes fijos e IRPF fijo del 15%</t>
  </si>
  <si>
    <t xml:space="preserve">Cambia solo las columnas azules. El resto calcula cuánto pedir y cuánto se va en IRPF, costes e IVA.</t>
  </si>
  <si>
    <t xml:space="preserve">Escenario</t>
  </si>
  <si>
    <t xml:space="preserve">Neto deseado (€)</t>
  </si>
  <si>
    <t xml:space="preserve">Costes fijos (€)</t>
  </si>
  <si>
    <t xml:space="preserve">Redondeo (€)</t>
  </si>
  <si>
    <t xml:space="preserve">Retención aplicada</t>
  </si>
  <si>
    <t xml:space="preserve">Base a pedir (€)</t>
  </si>
  <si>
    <t xml:space="preserve">IRPF 15% (€)</t>
  </si>
  <si>
    <t xml:space="preserve">Costes (€)</t>
  </si>
  <si>
    <t xml:space="preserve">IVA (€)</t>
  </si>
  <si>
    <t xml:space="preserve">Total factura (€)</t>
  </si>
  <si>
    <t xml:space="preserve">Total paga cliente (€)</t>
  </si>
  <si>
    <t xml:space="preserve">Neto final (€)</t>
  </si>
  <si>
    <t xml:space="preserve">Actual calculadora</t>
  </si>
  <si>
    <t xml:space="preserve">Sin costes</t>
  </si>
  <si>
    <t xml:space="preserve">Costes bajos</t>
  </si>
  <si>
    <t xml:space="preserve">Costes medios</t>
  </si>
  <si>
    <t xml:space="preserve">Costes altos</t>
  </si>
  <si>
    <t xml:space="preserve">Sin retención en factura</t>
  </si>
  <si>
    <t xml:space="preserve">No</t>
  </si>
  <si>
    <t xml:space="preserve">Guía rápida y fuentes</t>
  </si>
  <si>
    <t xml:space="preserve">Qué cambiar</t>
  </si>
  <si>
    <t xml:space="preserve">Dónde</t>
  </si>
  <si>
    <t xml:space="preserve">Qué significa</t>
  </si>
  <si>
    <t xml:space="preserve">Consejo</t>
  </si>
  <si>
    <t xml:space="preserve">Calculadora!B5</t>
  </si>
  <si>
    <t xml:space="preserve">Cantidad final que desea conservar.</t>
  </si>
  <si>
    <t xml:space="preserve">Separadlo de la facturación: facturar más no siempre significa ganar más.</t>
  </si>
  <si>
    <t xml:space="preserve">Calculadora!B6</t>
  </si>
  <si>
    <t xml:space="preserve">Cantidad fija que se va en entregar el trabajo.</t>
  </si>
  <si>
    <t xml:space="preserve">Incluid importes reales: subcontratas, materiales, licencias, herramientas o desplazamientos.</t>
  </si>
  <si>
    <t xml:space="preserve">Calculadora!B7</t>
  </si>
  <si>
    <t xml:space="preserve">Premisa fija del 15%.</t>
  </si>
  <si>
    <t xml:space="preserve">Está marcado en amarillo porque normalmente no se toca en esta versión.</t>
  </si>
  <si>
    <t xml:space="preserve">Calculadora!B8</t>
  </si>
  <si>
    <t xml:space="preserve">IVA que se suma a la factura.</t>
  </si>
  <si>
    <t xml:space="preserve">No lo tratéis como beneficio propio.</t>
  </si>
  <si>
    <t xml:space="preserve">Redondeo</t>
  </si>
  <si>
    <t xml:space="preserve">Calculadora!B10</t>
  </si>
  <si>
    <t xml:space="preserve">Redondea la base a un múltiplo comercial.</t>
  </si>
  <si>
    <t xml:space="preserve">Poned 0 si queréis el cálculo exacto sin redondear.</t>
  </si>
  <si>
    <t xml:space="preserve">Fórmula / concepto</t>
  </si>
  <si>
    <t xml:space="preserve">Cálculo</t>
  </si>
  <si>
    <t xml:space="preserve">Qué muestra</t>
  </si>
  <si>
    <t xml:space="preserve">Observación</t>
  </si>
  <si>
    <t xml:space="preserve">Lo que quiere ganarse antes de IRPF</t>
  </si>
  <si>
    <t xml:space="preserve">Neto deseado / (1 - 15%)</t>
  </si>
  <si>
    <t xml:space="preserve">La ganancia bruta necesaria para que, descontando IRPF, quede el neto deseado.</t>
  </si>
  <si>
    <t xml:space="preserve">Se muestra en Calculadora!B16.</t>
  </si>
  <si>
    <t xml:space="preserve">Base a pedir antes de IVA</t>
  </si>
  <si>
    <t xml:space="preserve">(Neto deseado + costes fijos) / (1 - 15%)</t>
  </si>
  <si>
    <t xml:space="preserve">La base recomendada para que, tras IRPF y costes, quede el neto objetivo.</t>
  </si>
  <si>
    <t xml:space="preserve">Se redondea si Calculadora!B10 es mayor que 0.</t>
  </si>
  <si>
    <t xml:space="preserve">IRPF</t>
  </si>
  <si>
    <t xml:space="preserve">Base a pedir × 15%</t>
  </si>
  <si>
    <t xml:space="preserve">La parte que se retiene o se aparta.</t>
  </si>
  <si>
    <t xml:space="preserve">En factura profesional suele calcularse sobre la base antes de IVA.</t>
  </si>
  <si>
    <t xml:space="preserve">Base a pedir - IRPF - costes fijos</t>
  </si>
  <si>
    <t xml:space="preserve">La comprobación de cuánto queda limpio.</t>
  </si>
  <si>
    <t xml:space="preserve">Debe coincidir o superar el neto deseado si hay redondeo.</t>
  </si>
  <si>
    <t xml:space="preserve">Base a pedir × IVA</t>
  </si>
  <si>
    <t xml:space="preserve">Lo que se añade al cliente.</t>
  </si>
  <si>
    <t xml:space="preserve">Se cobra, pero no se considera ganancia neta.</t>
  </si>
  <si>
    <t xml:space="preserve">IRPF + IVA + costes fijos</t>
  </si>
  <si>
    <t xml:space="preserve">Todo lo que no queda como neto final.</t>
  </si>
  <si>
    <t xml:space="preserve">Se muestra en Calculadora!B27.</t>
  </si>
  <si>
    <t xml:space="preserve">Notas fiscales — fuentes usadas como referencia</t>
  </si>
  <si>
    <t xml:space="preserve">Valor usado</t>
  </si>
  <si>
    <t xml:space="preserve">Fuente</t>
  </si>
  <si>
    <t xml:space="preserve">URL</t>
  </si>
  <si>
    <t xml:space="preserve">IVA general España</t>
  </si>
  <si>
    <t xml:space="preserve">21% editable</t>
  </si>
  <si>
    <t xml:space="preserve">Agencia Tributaria — Tipos impositivos de IVA</t>
  </si>
  <si>
    <t xml:space="preserve">https://sede.agenciatributaria.gob.es/Sede/iva/calculo-iva-repercutido-clientes/tipos-impositivos-iva.html</t>
  </si>
  <si>
    <t xml:space="preserve">Retención profesional general</t>
  </si>
  <si>
    <t xml:space="preserve">15% fijo en este archivo</t>
  </si>
  <si>
    <t xml:space="preserve">Agencia Tributaria — Otras obligaciones fiscales. Retenciones</t>
  </si>
  <si>
    <t xml:space="preserve">https://sede.agenciatributaria.gob.es/Sede/ayuda/manuales-videos-folletos/manuales-practicos/folleto-actividades-economicas/7-otras-obligaciones-fiscales-retenciones.html</t>
  </si>
  <si>
    <t xml:space="preserve">Aviso: este archivo es una calculadora sencilla para conversación y planificación. Los impuestos reales dependen del caso, país, actividad, régimen fiscal, gastos deducibles y forma jurídica; conviene validarlo con un asesor.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</si>
</sst>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[RED]\(#,##0.00&quot; €)&quot;;\-"/>
    <numFmt numFmtId="166" formatCode="0.0%;[RED]\(0.0%\);\-"/>
    <numFmt numFmtId="167" formatCode="#,##0&quot; €&quot;;[RED]\(#,##0&quot; €)&quot;;\-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b val="true"/>
      <sz val="12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EAF2F8"/>
        <bgColor rgb="FFF2F2F2"/>
      </patternFill>
    </fill>
    <fill>
      <patternFill patternType="solid">
        <fgColor rgb="FFF2F2F2"/>
        <bgColor rgb="FFEAF2F8"/>
      </patternFill>
    </fill>
    <fill>
      <patternFill patternType="solid">
        <fgColor rgb="FFDDEBF7"/>
        <bgColor rgb="FFEAF2F8"/>
      </patternFill>
    </fill>
    <fill>
      <patternFill patternType="solid">
        <fgColor rgb="FFC6E0B4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D9EAD3"/>
      </patternFill>
    </fill>
    <fill>
      <patternFill patternType="solid">
        <fgColor rgb="FF5B9BD5"/>
        <bgColor rgb="FF8B8B8B"/>
      </patternFill>
    </fill>
    <fill>
      <patternFill patternType="solid">
        <fgColor rgb="FFD9EAD3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C00000"/>
      </font>
      <fill>
        <patternFill>
          <bgColor rgb="FFF4CCCC"/>
        </patternFill>
      </fill>
    </dxf>
    <dxf>
      <font>
        <color rgb="FF006100"/>
      </font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6082"/>
      <rgbColor rgb="FFCCCCCC"/>
      <rgbColor rgb="FF8B8B8B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CE4D6"/>
      <rgbColor rgb="FFC6E0B4"/>
      <rgbColor rgb="FFF2F2F2"/>
      <rgbColor rgb="FFD9EAD3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Desglose de la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"Importe"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Calculadora!$D$16:$D$18</c:f>
              <c:strCache>
                <c:ptCount val="3"/>
                <c:pt idx="0">
                  <c:v>Neto final</c:v>
                </c:pt>
                <c:pt idx="1">
                  <c:v>IRPF 15%</c:v>
                </c:pt>
                <c:pt idx="2">
                  <c:v>Costes fijos</c:v>
                </c:pt>
              </c:strCache>
            </c:strRef>
          </c:cat>
          <c:val>
            <c:numRef>
              <c:f>Calculadora!$E$16:$E$18</c:f>
              <c:numCache>
                <c:formatCode>#,##0.00" €";[RED]\(#,##0.00" €)";\-</c:formatCode>
                <c:ptCount val="3"/>
                <c:pt idx="0">
                  <c:v>21007.5</c:v>
                </c:pt>
                <c:pt idx="1">
                  <c:v>3742.5</c:v>
                </c:pt>
                <c:pt idx="2">
                  <c:v>200</c:v>
                </c:pt>
              </c:numCache>
            </c:numRef>
          </c:val>
        </c:ser>
        <c:gapWidth val="150"/>
        <c:overlap val="0"/>
        <c:axId val="3189190"/>
        <c:axId val="72249091"/>
      </c:barChart>
      <c:catAx>
        <c:axId val="318919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2249091"/>
        <c:crosses val="autoZero"/>
        <c:auto val="1"/>
        <c:lblAlgn val="ctr"/>
        <c:lblOffset val="100"/>
        <c:noMultiLvlLbl val="0"/>
      </c:catAx>
      <c:valAx>
        <c:axId val="7224909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0&quot; €&quot;;[RED]\(#,##0.00&quot; €)&quot;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1891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20</xdr:row>
      <xdr:rowOff>285120</xdr:rowOff>
    </xdr:from>
    <xdr:to>
      <xdr:col>5</xdr:col>
      <xdr:colOff>1409040</xdr:colOff>
      <xdr:row>29</xdr:row>
      <xdr:rowOff>60480</xdr:rowOff>
    </xdr:to>
    <xdr:graphicFrame>
      <xdr:nvGraphicFramePr>
        <xdr:cNvPr id="1" name="Chart"/>
        <xdr:cNvGraphicFramePr/>
      </xdr:nvGraphicFramePr>
      <xdr:xfrm>
        <a:off x="4370040" y="4597560"/>
        <a:ext cx="4651560" cy="171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2</v>
      </c>
      <c r="B4" s="4"/>
      <c r="C4" s="4"/>
      <c r="D4" s="4" t="s">
        <v>3</v>
      </c>
      <c r="E4" s="4"/>
      <c r="F4" s="4"/>
    </row>
    <row r="5" customFormat="false" ht="15" hidden="false" customHeight="false" outlineLevel="0" collapsed="false">
      <c r="A5" s="5" t="s">
        <v>4</v>
      </c>
      <c r="B5" s="6" t="n">
        <v>21000</v>
      </c>
      <c r="C5" s="3" t="s">
        <v>5</v>
      </c>
      <c r="D5" s="7" t="s">
        <v>6</v>
      </c>
      <c r="E5" s="8" t="n">
        <f aca="false">B18</f>
        <v>24950</v>
      </c>
      <c r="F5" s="9" t="s">
        <v>7</v>
      </c>
    </row>
    <row r="6" customFormat="false" ht="15" hidden="false" customHeight="false" outlineLevel="0" collapsed="false">
      <c r="A6" s="5" t="s">
        <v>8</v>
      </c>
      <c r="B6" s="6" t="n">
        <v>200</v>
      </c>
      <c r="C6" s="3" t="s">
        <v>5</v>
      </c>
      <c r="D6" s="7" t="s">
        <v>9</v>
      </c>
      <c r="E6" s="8" t="n">
        <f aca="false">B24</f>
        <v>5239.5</v>
      </c>
      <c r="F6" s="9" t="s">
        <v>10</v>
      </c>
    </row>
    <row r="7" customFormat="false" ht="15" hidden="false" customHeight="false" outlineLevel="0" collapsed="false">
      <c r="A7" s="5" t="s">
        <v>11</v>
      </c>
      <c r="B7" s="10" t="n">
        <v>0.15</v>
      </c>
      <c r="C7" s="3" t="s">
        <v>12</v>
      </c>
      <c r="D7" s="7" t="s">
        <v>13</v>
      </c>
      <c r="E7" s="8" t="n">
        <f aca="false">B25</f>
        <v>30189.5</v>
      </c>
      <c r="F7" s="9" t="s">
        <v>14</v>
      </c>
    </row>
    <row r="8" customFormat="false" ht="15" hidden="false" customHeight="false" outlineLevel="0" collapsed="false">
      <c r="A8" s="5" t="s">
        <v>15</v>
      </c>
      <c r="B8" s="11" t="n">
        <v>0.21</v>
      </c>
      <c r="C8" s="3" t="s">
        <v>12</v>
      </c>
      <c r="D8" s="7" t="s">
        <v>16</v>
      </c>
      <c r="E8" s="8" t="n">
        <f aca="false">B26</f>
        <v>26447</v>
      </c>
      <c r="F8" s="9" t="s">
        <v>17</v>
      </c>
    </row>
    <row r="9" customFormat="false" ht="15" hidden="false" customHeight="false" outlineLevel="0" collapsed="false">
      <c r="A9" s="5" t="s">
        <v>18</v>
      </c>
      <c r="B9" s="12" t="s">
        <v>19</v>
      </c>
      <c r="C9" s="3"/>
      <c r="D9" s="7" t="s">
        <v>20</v>
      </c>
      <c r="E9" s="8" t="n">
        <f aca="false">B22</f>
        <v>21007.5</v>
      </c>
      <c r="F9" s="9" t="s">
        <v>21</v>
      </c>
    </row>
    <row r="10" customFormat="false" ht="15" hidden="false" customHeight="false" outlineLevel="0" collapsed="false">
      <c r="A10" s="5" t="s">
        <v>22</v>
      </c>
      <c r="B10" s="13" t="n">
        <v>50</v>
      </c>
      <c r="C10" s="3" t="s">
        <v>5</v>
      </c>
      <c r="D10" s="9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true" outlineLevel="0" collapsed="false">
      <c r="A12" s="14" t="s">
        <v>23</v>
      </c>
      <c r="B12" s="14"/>
      <c r="C12" s="14"/>
      <c r="D12" s="14"/>
      <c r="E12" s="14"/>
      <c r="F12" s="14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24</v>
      </c>
      <c r="B14" s="4"/>
      <c r="C14" s="4"/>
      <c r="D14" s="4" t="s">
        <v>25</v>
      </c>
      <c r="E14" s="4"/>
      <c r="F14" s="4"/>
    </row>
    <row r="15" customFormat="false" ht="15" hidden="false" customHeight="false" outlineLevel="0" collapsed="false">
      <c r="A15" s="15" t="s">
        <v>26</v>
      </c>
      <c r="B15" s="16" t="n">
        <f aca="false">B5</f>
        <v>21000</v>
      </c>
      <c r="C15" s="3"/>
      <c r="D15" s="17" t="s">
        <v>27</v>
      </c>
      <c r="E15" s="17" t="s">
        <v>28</v>
      </c>
      <c r="F15" s="17" t="s">
        <v>29</v>
      </c>
    </row>
    <row r="16" customFormat="false" ht="23.85" hidden="false" customHeight="false" outlineLevel="0" collapsed="false">
      <c r="A16" s="15" t="s">
        <v>30</v>
      </c>
      <c r="B16" s="16" t="n">
        <f aca="false">B5/(1-B7)</f>
        <v>24705.8823529412</v>
      </c>
      <c r="C16" s="3"/>
      <c r="D16" s="18" t="s">
        <v>31</v>
      </c>
      <c r="E16" s="19" t="n">
        <f aca="false">B22</f>
        <v>21007.5</v>
      </c>
      <c r="F16" s="20" t="n">
        <f aca="false">E16/$B$18</f>
        <v>0.841983967935872</v>
      </c>
    </row>
    <row r="17" customFormat="false" ht="15" hidden="false" customHeight="false" outlineLevel="0" collapsed="false">
      <c r="A17" s="15" t="s">
        <v>32</v>
      </c>
      <c r="B17" s="16" t="n">
        <f aca="false">B16*B7</f>
        <v>3705.88235294118</v>
      </c>
      <c r="C17" s="3"/>
      <c r="D17" s="18" t="s">
        <v>33</v>
      </c>
      <c r="E17" s="19" t="n">
        <f aca="false">B19</f>
        <v>3742.5</v>
      </c>
      <c r="F17" s="20" t="n">
        <f aca="false">E17/$B$18</f>
        <v>0.15</v>
      </c>
    </row>
    <row r="18" customFormat="false" ht="23.85" hidden="false" customHeight="false" outlineLevel="0" collapsed="false">
      <c r="A18" s="15" t="s">
        <v>34</v>
      </c>
      <c r="B18" s="16" t="n">
        <f aca="false">IF(B10&gt;0,ROUNDUP(((B5+B6)/(1-B7))/B10,0)*B10,(B5+B6)/(1-B7))</f>
        <v>24950</v>
      </c>
      <c r="C18" s="3"/>
      <c r="D18" s="18" t="s">
        <v>35</v>
      </c>
      <c r="E18" s="19" t="n">
        <f aca="false">B20</f>
        <v>200</v>
      </c>
      <c r="F18" s="20" t="n">
        <f aca="false">E18/$B$18</f>
        <v>0.00801603206412826</v>
      </c>
    </row>
    <row r="19" customFormat="false" ht="23.85" hidden="false" customHeight="false" outlineLevel="0" collapsed="false">
      <c r="A19" s="15" t="s">
        <v>36</v>
      </c>
      <c r="B19" s="16" t="n">
        <f aca="false">B18*B7</f>
        <v>3742.5</v>
      </c>
      <c r="C19" s="3"/>
      <c r="D19" s="18" t="s">
        <v>37</v>
      </c>
      <c r="E19" s="16" t="n">
        <f aca="false">SUM(E16:E18)</f>
        <v>24950</v>
      </c>
      <c r="F19" s="21" t="n">
        <f aca="false">E19/$B$18</f>
        <v>1</v>
      </c>
    </row>
    <row r="20" customFormat="false" ht="15" hidden="false" customHeight="false" outlineLevel="0" collapsed="false">
      <c r="A20" s="15" t="s">
        <v>38</v>
      </c>
      <c r="B20" s="16" t="n">
        <f aca="false">B6</f>
        <v>200</v>
      </c>
      <c r="C20" s="3"/>
      <c r="D20" s="18" t="s">
        <v>39</v>
      </c>
      <c r="E20" s="19" t="n">
        <f aca="false">B24</f>
        <v>5239.5</v>
      </c>
      <c r="F20" s="20" t="n">
        <f aca="false">E20/$B$18</f>
        <v>0.21</v>
      </c>
    </row>
    <row r="21" customFormat="false" ht="23.85" hidden="false" customHeight="false" outlineLevel="0" collapsed="false">
      <c r="A21" s="15" t="s">
        <v>40</v>
      </c>
      <c r="B21" s="16" t="n">
        <f aca="false">B18-B20</f>
        <v>24750</v>
      </c>
      <c r="C21" s="3"/>
      <c r="D21" s="3"/>
      <c r="E21" s="3"/>
      <c r="F21" s="3"/>
    </row>
    <row r="22" customFormat="false" ht="15" hidden="false" customHeight="false" outlineLevel="0" collapsed="false">
      <c r="A22" s="15" t="s">
        <v>41</v>
      </c>
      <c r="B22" s="16" t="n">
        <f aca="false">B18-B19-B20</f>
        <v>21007.5</v>
      </c>
      <c r="C22" s="3"/>
      <c r="D22" s="3"/>
      <c r="E22" s="3"/>
      <c r="F22" s="3"/>
    </row>
    <row r="23" customFormat="false" ht="15" hidden="false" customHeight="false" outlineLevel="0" collapsed="false">
      <c r="A23" s="15" t="s">
        <v>42</v>
      </c>
      <c r="B23" s="16" t="n">
        <f aca="false">B22-B5</f>
        <v>7.5</v>
      </c>
      <c r="C23" s="3"/>
      <c r="D23" s="3"/>
      <c r="E23" s="3"/>
      <c r="F23" s="3"/>
    </row>
    <row r="24" customFormat="false" ht="15" hidden="false" customHeight="false" outlineLevel="0" collapsed="false">
      <c r="A24" s="15" t="s">
        <v>43</v>
      </c>
      <c r="B24" s="16" t="n">
        <f aca="false">B18*B8</f>
        <v>5239.5</v>
      </c>
      <c r="C24" s="3"/>
      <c r="D24" s="3"/>
      <c r="E24" s="3"/>
      <c r="F24" s="3"/>
    </row>
    <row r="25" customFormat="false" ht="15" hidden="false" customHeight="false" outlineLevel="0" collapsed="false">
      <c r="A25" s="15" t="s">
        <v>44</v>
      </c>
      <c r="B25" s="16" t="n">
        <f aca="false">B18+B24</f>
        <v>30189.5</v>
      </c>
      <c r="C25" s="3"/>
      <c r="D25" s="3"/>
      <c r="E25" s="3"/>
      <c r="F25" s="3"/>
    </row>
    <row r="26" customFormat="false" ht="15" hidden="false" customHeight="false" outlineLevel="0" collapsed="false">
      <c r="A26" s="15" t="s">
        <v>45</v>
      </c>
      <c r="B26" s="16" t="n">
        <f aca="false">IF(B9="Sí",B25-B19,B25)</f>
        <v>26447</v>
      </c>
      <c r="C26" s="3"/>
      <c r="D26" s="3"/>
      <c r="E26" s="3"/>
      <c r="F26" s="3"/>
    </row>
    <row r="27" customFormat="false" ht="15" hidden="false" customHeight="false" outlineLevel="0" collapsed="false">
      <c r="A27" s="15" t="s">
        <v>46</v>
      </c>
      <c r="B27" s="16" t="n">
        <f aca="false">B19+B20+B24</f>
        <v>9182</v>
      </c>
      <c r="C27" s="3"/>
      <c r="D27" s="3"/>
      <c r="E27" s="3"/>
      <c r="F27" s="3"/>
    </row>
    <row r="28" customFormat="false" ht="15" hidden="false" customHeight="false" outlineLevel="0" collapsed="false">
      <c r="A28" s="15" t="s">
        <v>47</v>
      </c>
      <c r="B28" s="16" t="n">
        <f aca="false">IF(B9="Sí",B24+B20,B24+B19+B20)</f>
        <v>5439.5</v>
      </c>
      <c r="C28" s="3"/>
      <c r="D28" s="3"/>
      <c r="E28" s="3"/>
      <c r="F28" s="3"/>
    </row>
    <row r="29" customFormat="false" ht="23.85" hidden="false" customHeight="false" outlineLevel="0" collapsed="false">
      <c r="A29" s="15" t="s">
        <v>48</v>
      </c>
      <c r="B29" s="21" t="n">
        <f aca="false">(B19+B20)/B18</f>
        <v>0.158016032064128</v>
      </c>
      <c r="C29" s="3"/>
      <c r="D29" s="3"/>
      <c r="E29" s="3"/>
      <c r="F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</row>
    <row r="31" customFormat="false" ht="15" hidden="false" customHeight="false" outlineLevel="0" collapsed="false">
      <c r="A31" s="4" t="s">
        <v>49</v>
      </c>
      <c r="B31" s="4"/>
      <c r="C31" s="4"/>
      <c r="D31" s="4"/>
      <c r="E31" s="4"/>
      <c r="F31" s="4"/>
    </row>
    <row r="32" customFormat="false" ht="38" hidden="false" customHeight="true" outlineLevel="0" collapsed="false">
      <c r="A32" s="22" t="s">
        <v>50</v>
      </c>
      <c r="B32" s="23" t="s">
        <v>51</v>
      </c>
      <c r="C32" s="23"/>
      <c r="D32" s="23"/>
      <c r="E32" s="23"/>
      <c r="F32" s="23"/>
    </row>
    <row r="33" customFormat="false" ht="38" hidden="false" customHeight="true" outlineLevel="0" collapsed="false">
      <c r="A33" s="22" t="s">
        <v>52</v>
      </c>
      <c r="B33" s="23" t="s">
        <v>53</v>
      </c>
      <c r="C33" s="23"/>
      <c r="D33" s="23"/>
      <c r="E33" s="23"/>
      <c r="F33" s="23"/>
    </row>
    <row r="34" customFormat="false" ht="38" hidden="false" customHeight="true" outlineLevel="0" collapsed="false">
      <c r="A34" s="22" t="s">
        <v>54</v>
      </c>
      <c r="B34" s="23" t="s">
        <v>55</v>
      </c>
      <c r="C34" s="23"/>
      <c r="D34" s="23"/>
      <c r="E34" s="23"/>
      <c r="F34" s="23"/>
    </row>
    <row r="35" customFormat="false" ht="38" hidden="false" customHeight="true" outlineLevel="0" collapsed="false">
      <c r="A35" s="22" t="s">
        <v>56</v>
      </c>
      <c r="B35" s="23" t="s">
        <v>57</v>
      </c>
      <c r="C35" s="23"/>
      <c r="D35" s="23"/>
      <c r="E35" s="23"/>
      <c r="F35" s="23"/>
    </row>
  </sheetData>
  <mergeCells count="12">
    <mergeCell ref="A1:F1"/>
    <mergeCell ref="A2:F2"/>
    <mergeCell ref="A4:C4"/>
    <mergeCell ref="D4:F4"/>
    <mergeCell ref="A12:F12"/>
    <mergeCell ref="A14:C14"/>
    <mergeCell ref="D14:F14"/>
    <mergeCell ref="A31:F31"/>
    <mergeCell ref="B32:F32"/>
    <mergeCell ref="B33:F33"/>
    <mergeCell ref="B34:F34"/>
    <mergeCell ref="B35:F35"/>
  </mergeCells>
  <conditionalFormatting sqref="B23">
    <cfRule type="expression" priority="2" aboveAverage="0" equalAverage="0" bottom="0" percent="0" rank="0" text="" dxfId="0">
      <formula>B23&lt;0</formula>
    </cfRule>
    <cfRule type="expression" priority="3" aboveAverage="0" equalAverage="0" bottom="0" percent="0" rank="0" text="" dxfId="1">
      <formula>B23&gt;=0</formula>
    </cfRule>
  </conditionalFormatting>
  <dataValidations count="1">
    <dataValidation allowBlank="false" errorStyle="stop" operator="between" showDropDown="false" showErrorMessage="false" showInputMessage="false" sqref="B9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14" min="8" style="0" width="16"/>
  </cols>
  <sheetData>
    <row r="1" customFormat="false" ht="28" hidden="false" customHeight="true" outlineLevel="0" collapsed="false">
      <c r="A1" s="24" t="s">
        <v>58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5" hidden="false" customHeight="true" outlineLevel="0" collapsed="false">
      <c r="A2" s="25" t="s">
        <v>59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customFormat="false" ht="23.85" hidden="false" customHeight="false" outlineLevel="0" collapsed="false">
      <c r="A4" s="26" t="s">
        <v>60</v>
      </c>
      <c r="B4" s="26" t="s">
        <v>61</v>
      </c>
      <c r="C4" s="26" t="s">
        <v>62</v>
      </c>
      <c r="D4" s="26" t="s">
        <v>15</v>
      </c>
      <c r="E4" s="26" t="s">
        <v>11</v>
      </c>
      <c r="F4" s="26" t="s">
        <v>63</v>
      </c>
      <c r="G4" s="26" t="s">
        <v>64</v>
      </c>
      <c r="H4" s="26" t="s">
        <v>65</v>
      </c>
      <c r="I4" s="26" t="s">
        <v>66</v>
      </c>
      <c r="J4" s="26" t="s">
        <v>67</v>
      </c>
      <c r="K4" s="26" t="s">
        <v>68</v>
      </c>
      <c r="L4" s="26" t="s">
        <v>69</v>
      </c>
      <c r="M4" s="26" t="s">
        <v>70</v>
      </c>
      <c r="N4" s="26" t="s">
        <v>71</v>
      </c>
    </row>
    <row r="5" customFormat="false" ht="15" hidden="false" customHeight="false" outlineLevel="0" collapsed="false">
      <c r="A5" s="27" t="s">
        <v>72</v>
      </c>
      <c r="B5" s="28" t="n">
        <f aca="false">Calculadora!B5</f>
        <v>21000</v>
      </c>
      <c r="C5" s="28" t="n">
        <f aca="false">Calculadora!B6</f>
        <v>200</v>
      </c>
      <c r="D5" s="29" t="n">
        <f aca="false">Calculadora!B8</f>
        <v>0.21</v>
      </c>
      <c r="E5" s="10" t="n">
        <v>0.15</v>
      </c>
      <c r="F5" s="30" t="n">
        <f aca="false">Calculadora!B10</f>
        <v>50</v>
      </c>
      <c r="G5" s="27" t="str">
        <f aca="false">Calculadora!B9</f>
        <v>Sí</v>
      </c>
      <c r="H5" s="31" t="n">
        <f aca="false">IF(F5&gt;0,ROUNDUP(((B5+C5)/(1-E5))/F5,0)*F5,(B5+C5)/(1-E5))</f>
        <v>24950</v>
      </c>
      <c r="I5" s="31" t="n">
        <f aca="false">H5*E5</f>
        <v>3742.5</v>
      </c>
      <c r="J5" s="31" t="n">
        <f aca="false">C5</f>
        <v>200</v>
      </c>
      <c r="K5" s="31" t="n">
        <f aca="false">H5*D5</f>
        <v>5239.5</v>
      </c>
      <c r="L5" s="31" t="n">
        <f aca="false">H5+K5</f>
        <v>30189.5</v>
      </c>
      <c r="M5" s="31" t="n">
        <f aca="false">IF(G5="Sí",L5-I5,L5)</f>
        <v>26447</v>
      </c>
      <c r="N5" s="31" t="n">
        <f aca="false">H5-I5-J5</f>
        <v>21007.5</v>
      </c>
    </row>
    <row r="6" customFormat="false" ht="15" hidden="false" customHeight="false" outlineLevel="0" collapsed="false">
      <c r="A6" s="27" t="s">
        <v>73</v>
      </c>
      <c r="B6" s="28" t="n">
        <v>2500</v>
      </c>
      <c r="C6" s="28" t="n">
        <v>0</v>
      </c>
      <c r="D6" s="29" t="n">
        <v>0.21</v>
      </c>
      <c r="E6" s="10" t="n">
        <v>0.15</v>
      </c>
      <c r="F6" s="30" t="n">
        <v>50</v>
      </c>
      <c r="G6" s="27" t="s">
        <v>19</v>
      </c>
      <c r="H6" s="31" t="n">
        <f aca="false">IF(F6&gt;0,ROUNDUP(((B6+C6)/(1-E6))/F6,0)*F6,(B6+C6)/(1-E6))</f>
        <v>2950</v>
      </c>
      <c r="I6" s="31" t="n">
        <f aca="false">H6*E6</f>
        <v>442.5</v>
      </c>
      <c r="J6" s="31" t="n">
        <f aca="false">C6</f>
        <v>0</v>
      </c>
      <c r="K6" s="31" t="n">
        <f aca="false">H6*D6</f>
        <v>619.5</v>
      </c>
      <c r="L6" s="31" t="n">
        <f aca="false">H6+K6</f>
        <v>3569.5</v>
      </c>
      <c r="M6" s="31" t="n">
        <f aca="false">IF(G6="Sí",L6-I6,L6)</f>
        <v>3127</v>
      </c>
      <c r="N6" s="31" t="n">
        <f aca="false">H6-I6-J6</f>
        <v>2507.5</v>
      </c>
    </row>
    <row r="7" customFormat="false" ht="15" hidden="false" customHeight="false" outlineLevel="0" collapsed="false">
      <c r="A7" s="27" t="s">
        <v>74</v>
      </c>
      <c r="B7" s="28" t="n">
        <v>2500</v>
      </c>
      <c r="C7" s="28" t="n">
        <v>250</v>
      </c>
      <c r="D7" s="29" t="n">
        <v>0.21</v>
      </c>
      <c r="E7" s="10" t="n">
        <v>0.15</v>
      </c>
      <c r="F7" s="30" t="n">
        <v>50</v>
      </c>
      <c r="G7" s="27" t="s">
        <v>19</v>
      </c>
      <c r="H7" s="31" t="n">
        <f aca="false">IF(F7&gt;0,ROUNDUP(((B7+C7)/(1-E7))/F7,0)*F7,(B7+C7)/(1-E7))</f>
        <v>3250</v>
      </c>
      <c r="I7" s="31" t="n">
        <f aca="false">H7*E7</f>
        <v>487.5</v>
      </c>
      <c r="J7" s="31" t="n">
        <f aca="false">C7</f>
        <v>250</v>
      </c>
      <c r="K7" s="31" t="n">
        <f aca="false">H7*D7</f>
        <v>682.5</v>
      </c>
      <c r="L7" s="31" t="n">
        <f aca="false">H7+K7</f>
        <v>3932.5</v>
      </c>
      <c r="M7" s="31" t="n">
        <f aca="false">IF(G7="Sí",L7-I7,L7)</f>
        <v>3445</v>
      </c>
      <c r="N7" s="31" t="n">
        <f aca="false">H7-I7-J7</f>
        <v>2512.5</v>
      </c>
    </row>
    <row r="8" customFormat="false" ht="15" hidden="false" customHeight="false" outlineLevel="0" collapsed="false">
      <c r="A8" s="27" t="s">
        <v>75</v>
      </c>
      <c r="B8" s="28" t="n">
        <v>2500</v>
      </c>
      <c r="C8" s="28" t="n">
        <v>500</v>
      </c>
      <c r="D8" s="29" t="n">
        <v>0.21</v>
      </c>
      <c r="E8" s="10" t="n">
        <v>0.15</v>
      </c>
      <c r="F8" s="30" t="n">
        <v>50</v>
      </c>
      <c r="G8" s="27" t="s">
        <v>19</v>
      </c>
      <c r="H8" s="31" t="n">
        <f aca="false">IF(F8&gt;0,ROUNDUP(((B8+C8)/(1-E8))/F8,0)*F8,(B8+C8)/(1-E8))</f>
        <v>3550</v>
      </c>
      <c r="I8" s="31" t="n">
        <f aca="false">H8*E8</f>
        <v>532.5</v>
      </c>
      <c r="J8" s="31" t="n">
        <f aca="false">C8</f>
        <v>500</v>
      </c>
      <c r="K8" s="31" t="n">
        <f aca="false">H8*D8</f>
        <v>745.5</v>
      </c>
      <c r="L8" s="31" t="n">
        <f aca="false">H8+K8</f>
        <v>4295.5</v>
      </c>
      <c r="M8" s="31" t="n">
        <f aca="false">IF(G8="Sí",L8-I8,L8)</f>
        <v>3763</v>
      </c>
      <c r="N8" s="31" t="n">
        <f aca="false">H8-I8-J8</f>
        <v>2517.5</v>
      </c>
    </row>
    <row r="9" customFormat="false" ht="15" hidden="false" customHeight="false" outlineLevel="0" collapsed="false">
      <c r="A9" s="27" t="s">
        <v>76</v>
      </c>
      <c r="B9" s="28" t="n">
        <v>2500</v>
      </c>
      <c r="C9" s="28" t="n">
        <v>1000</v>
      </c>
      <c r="D9" s="29" t="n">
        <v>0.21</v>
      </c>
      <c r="E9" s="10" t="n">
        <v>0.15</v>
      </c>
      <c r="F9" s="30" t="n">
        <v>50</v>
      </c>
      <c r="G9" s="27" t="s">
        <v>19</v>
      </c>
      <c r="H9" s="31" t="n">
        <f aca="false">IF(F9&gt;0,ROUNDUP(((B9+C9)/(1-E9))/F9,0)*F9,(B9+C9)/(1-E9))</f>
        <v>4150</v>
      </c>
      <c r="I9" s="31" t="n">
        <f aca="false">H9*E9</f>
        <v>622.5</v>
      </c>
      <c r="J9" s="31" t="n">
        <f aca="false">C9</f>
        <v>1000</v>
      </c>
      <c r="K9" s="31" t="n">
        <f aca="false">H9*D9</f>
        <v>871.5</v>
      </c>
      <c r="L9" s="31" t="n">
        <f aca="false">H9+K9</f>
        <v>5021.5</v>
      </c>
      <c r="M9" s="31" t="n">
        <f aca="false">IF(G9="Sí",L9-I9,L9)</f>
        <v>4399</v>
      </c>
      <c r="N9" s="31" t="n">
        <f aca="false">H9-I9-J9</f>
        <v>2527.5</v>
      </c>
    </row>
    <row r="10" customFormat="false" ht="15" hidden="false" customHeight="false" outlineLevel="0" collapsed="false">
      <c r="A10" s="27" t="s">
        <v>77</v>
      </c>
      <c r="B10" s="28" t="n">
        <v>2500</v>
      </c>
      <c r="C10" s="28" t="n">
        <v>500</v>
      </c>
      <c r="D10" s="29" t="n">
        <v>0.21</v>
      </c>
      <c r="E10" s="10" t="n">
        <v>0.15</v>
      </c>
      <c r="F10" s="30" t="n">
        <v>50</v>
      </c>
      <c r="G10" s="27" t="s">
        <v>78</v>
      </c>
      <c r="H10" s="31" t="n">
        <f aca="false">IF(F10&gt;0,ROUNDUP(((B10+C10)/(1-E10))/F10,0)*F10,(B10+C10)/(1-E10))</f>
        <v>3550</v>
      </c>
      <c r="I10" s="31" t="n">
        <f aca="false">H10*E10</f>
        <v>532.5</v>
      </c>
      <c r="J10" s="31" t="n">
        <f aca="false">C10</f>
        <v>500</v>
      </c>
      <c r="K10" s="31" t="n">
        <f aca="false">H10*D10</f>
        <v>745.5</v>
      </c>
      <c r="L10" s="31" t="n">
        <f aca="false">H10+K10</f>
        <v>4295.5</v>
      </c>
      <c r="M10" s="31" t="n">
        <f aca="false">IF(G10="Sí",L10-I10,L10)</f>
        <v>4295.5</v>
      </c>
      <c r="N10" s="31" t="n">
        <f aca="false">H10-I10-J10</f>
        <v>2517.5</v>
      </c>
    </row>
  </sheetData>
  <mergeCells count="2">
    <mergeCell ref="A1:N1"/>
    <mergeCell ref="A2:N2"/>
  </mergeCells>
  <dataValidations count="1">
    <dataValidation allowBlank="false" errorStyle="stop" operator="between" showDropDown="false" showErrorMessage="false" showInputMessage="false" sqref="G5:G10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80"/>
  </cols>
  <sheetData>
    <row r="1" customFormat="false" ht="28" hidden="false" customHeight="true" outlineLevel="0" collapsed="false">
      <c r="A1" s="32" t="s">
        <v>79</v>
      </c>
      <c r="B1" s="32"/>
      <c r="C1" s="32"/>
      <c r="D1" s="32"/>
    </row>
    <row r="2" customFormat="false" ht="15" hidden="false" customHeight="false" outlineLevel="0" collapsed="false">
      <c r="A2" s="33"/>
      <c r="B2" s="33"/>
      <c r="C2" s="33"/>
      <c r="D2" s="33"/>
    </row>
    <row r="3" customFormat="false" ht="15" hidden="false" customHeight="false" outlineLevel="0" collapsed="false">
      <c r="A3" s="34" t="s">
        <v>80</v>
      </c>
      <c r="B3" s="34" t="s">
        <v>81</v>
      </c>
      <c r="C3" s="34" t="s">
        <v>82</v>
      </c>
      <c r="D3" s="34" t="s">
        <v>83</v>
      </c>
    </row>
    <row r="4" customFormat="false" ht="15" hidden="false" customHeight="false" outlineLevel="0" collapsed="false">
      <c r="A4" s="35" t="s">
        <v>4</v>
      </c>
      <c r="B4" s="35" t="s">
        <v>84</v>
      </c>
      <c r="C4" s="35" t="s">
        <v>85</v>
      </c>
      <c r="D4" s="35" t="s">
        <v>86</v>
      </c>
    </row>
    <row r="5" customFormat="false" ht="23.85" hidden="false" customHeight="false" outlineLevel="0" collapsed="false">
      <c r="A5" s="35" t="s">
        <v>35</v>
      </c>
      <c r="B5" s="35" t="s">
        <v>87</v>
      </c>
      <c r="C5" s="35" t="s">
        <v>88</v>
      </c>
      <c r="D5" s="35" t="s">
        <v>89</v>
      </c>
    </row>
    <row r="6" customFormat="false" ht="15" hidden="false" customHeight="false" outlineLevel="0" collapsed="false">
      <c r="A6" s="35" t="s">
        <v>11</v>
      </c>
      <c r="B6" s="35" t="s">
        <v>90</v>
      </c>
      <c r="C6" s="35" t="s">
        <v>91</v>
      </c>
      <c r="D6" s="35" t="s">
        <v>92</v>
      </c>
    </row>
    <row r="7" customFormat="false" ht="15" hidden="false" customHeight="false" outlineLevel="0" collapsed="false">
      <c r="A7" s="35" t="s">
        <v>15</v>
      </c>
      <c r="B7" s="35" t="s">
        <v>93</v>
      </c>
      <c r="C7" s="35" t="s">
        <v>94</v>
      </c>
      <c r="D7" s="35" t="s">
        <v>95</v>
      </c>
    </row>
    <row r="8" customFormat="false" ht="15" hidden="false" customHeight="false" outlineLevel="0" collapsed="false">
      <c r="A8" s="35" t="s">
        <v>96</v>
      </c>
      <c r="B8" s="35" t="s">
        <v>97</v>
      </c>
      <c r="C8" s="35" t="s">
        <v>98</v>
      </c>
      <c r="D8" s="35" t="s">
        <v>99</v>
      </c>
    </row>
    <row r="9" customFormat="false" ht="15" hidden="false" customHeight="false" outlineLevel="0" collapsed="false">
      <c r="A9" s="33"/>
      <c r="B9" s="33"/>
      <c r="C9" s="33"/>
      <c r="D9" s="33"/>
    </row>
    <row r="10" customFormat="false" ht="15" hidden="false" customHeight="false" outlineLevel="0" collapsed="false">
      <c r="A10" s="36" t="s">
        <v>100</v>
      </c>
      <c r="B10" s="36" t="s">
        <v>101</v>
      </c>
      <c r="C10" s="36" t="s">
        <v>102</v>
      </c>
      <c r="D10" s="36" t="s">
        <v>103</v>
      </c>
    </row>
    <row r="11" customFormat="false" ht="23.85" hidden="false" customHeight="false" outlineLevel="0" collapsed="false">
      <c r="A11" s="35" t="s">
        <v>104</v>
      </c>
      <c r="B11" s="35" t="s">
        <v>105</v>
      </c>
      <c r="C11" s="35" t="s">
        <v>106</v>
      </c>
      <c r="D11" s="35" t="s">
        <v>107</v>
      </c>
    </row>
    <row r="12" customFormat="false" ht="23.85" hidden="false" customHeight="false" outlineLevel="0" collapsed="false">
      <c r="A12" s="35" t="s">
        <v>108</v>
      </c>
      <c r="B12" s="35" t="s">
        <v>109</v>
      </c>
      <c r="C12" s="35" t="s">
        <v>110</v>
      </c>
      <c r="D12" s="35" t="s">
        <v>111</v>
      </c>
    </row>
    <row r="13" customFormat="false" ht="15" hidden="false" customHeight="false" outlineLevel="0" collapsed="false">
      <c r="A13" s="35" t="s">
        <v>112</v>
      </c>
      <c r="B13" s="35" t="s">
        <v>113</v>
      </c>
      <c r="C13" s="35" t="s">
        <v>114</v>
      </c>
      <c r="D13" s="35" t="s">
        <v>115</v>
      </c>
    </row>
    <row r="14" customFormat="false" ht="23.85" hidden="false" customHeight="false" outlineLevel="0" collapsed="false">
      <c r="A14" s="35" t="s">
        <v>31</v>
      </c>
      <c r="B14" s="35" t="s">
        <v>116</v>
      </c>
      <c r="C14" s="35" t="s">
        <v>117</v>
      </c>
      <c r="D14" s="35" t="s">
        <v>118</v>
      </c>
    </row>
    <row r="15" customFormat="false" ht="15" hidden="false" customHeight="false" outlineLevel="0" collapsed="false">
      <c r="A15" s="35" t="s">
        <v>15</v>
      </c>
      <c r="B15" s="35" t="s">
        <v>119</v>
      </c>
      <c r="C15" s="35" t="s">
        <v>120</v>
      </c>
      <c r="D15" s="35" t="s">
        <v>121</v>
      </c>
    </row>
    <row r="16" customFormat="false" ht="15" hidden="false" customHeight="false" outlineLevel="0" collapsed="false">
      <c r="A16" s="35" t="s">
        <v>46</v>
      </c>
      <c r="B16" s="35" t="s">
        <v>122</v>
      </c>
      <c r="C16" s="35" t="s">
        <v>123</v>
      </c>
      <c r="D16" s="35" t="s">
        <v>124</v>
      </c>
    </row>
    <row r="17" customFormat="false" ht="15" hidden="false" customHeight="false" outlineLevel="0" collapsed="false">
      <c r="A17" s="36" t="s">
        <v>125</v>
      </c>
      <c r="B17" s="36" t="s">
        <v>126</v>
      </c>
      <c r="C17" s="36" t="s">
        <v>127</v>
      </c>
      <c r="D17" s="36" t="s">
        <v>128</v>
      </c>
    </row>
    <row r="18" customFormat="false" ht="23.85" hidden="false" customHeight="false" outlineLevel="0" collapsed="false">
      <c r="A18" s="35" t="s">
        <v>129</v>
      </c>
      <c r="B18" s="35" t="s">
        <v>130</v>
      </c>
      <c r="C18" s="35" t="s">
        <v>131</v>
      </c>
      <c r="D18" s="35" t="s">
        <v>132</v>
      </c>
    </row>
    <row r="19" customFormat="false" ht="23.85" hidden="false" customHeight="false" outlineLevel="0" collapsed="false">
      <c r="A19" s="35" t="s">
        <v>133</v>
      </c>
      <c r="B19" s="35" t="s">
        <v>134</v>
      </c>
      <c r="C19" s="35" t="s">
        <v>135</v>
      </c>
      <c r="D19" s="35" t="s">
        <v>136</v>
      </c>
    </row>
    <row r="20" customFormat="false" ht="15" hidden="false" customHeight="false" outlineLevel="0" collapsed="false">
      <c r="A20" s="33"/>
      <c r="B20" s="33"/>
      <c r="C20" s="33"/>
      <c r="D20" s="33"/>
    </row>
    <row r="21" customFormat="false" ht="23.85" hidden="false" customHeight="true" outlineLevel="0" collapsed="false">
      <c r="A21" s="37" t="s">
        <v>137</v>
      </c>
      <c r="B21" s="37"/>
      <c r="C21" s="37"/>
      <c r="D21" s="37"/>
    </row>
  </sheetData>
  <mergeCells count="2">
    <mergeCell ref="A1:D1"/>
    <mergeCell ref="A21:D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2026-05-10T21:14:11Z</dcterms:modified>
  <cp:revision>1</cp:revision>
  <dc:subject/>
  <dc:title/>
</cp:coreProperties>
</file>